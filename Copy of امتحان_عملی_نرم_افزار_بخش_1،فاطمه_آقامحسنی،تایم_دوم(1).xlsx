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0400" windowHeight="8010" tabRatio="581" activeTab="1"/>
  </bookViews>
  <sheets>
    <sheet name="&quot;حکم پرسنلی&quot;" sheetId="1" r:id="rId1"/>
    <sheet name="&quot;لیست حقوق و دستمزد" sheetId="2" r:id="rId2"/>
  </sheets>
  <calcPr calcId="145621"/>
</workbook>
</file>

<file path=xl/calcChain.xml><?xml version="1.0" encoding="utf-8"?>
<calcChain xmlns="http://schemas.openxmlformats.org/spreadsheetml/2006/main">
  <c r="W10" i="2" l="1"/>
  <c r="W8" i="2"/>
  <c r="W9" i="2"/>
  <c r="W11" i="2"/>
  <c r="W7" i="2"/>
  <c r="K7" i="2" l="1"/>
  <c r="W12" i="2" l="1"/>
  <c r="Z21" i="2"/>
  <c r="Z20" i="2"/>
  <c r="Y22" i="2"/>
  <c r="Y21" i="2"/>
  <c r="Y20" i="2"/>
  <c r="Y19" i="2"/>
  <c r="Z7" i="2" l="1"/>
  <c r="Z8" i="2"/>
  <c r="Z9" i="2"/>
  <c r="Z10" i="2"/>
  <c r="Z11" i="2"/>
  <c r="Z12" i="2" s="1"/>
  <c r="Z22" i="2" l="1"/>
  <c r="V12" i="2" l="1"/>
  <c r="V8" i="2"/>
  <c r="V9" i="2"/>
  <c r="V10" i="2"/>
  <c r="V11" i="2"/>
  <c r="V7" i="2"/>
  <c r="U12" i="2"/>
  <c r="U8" i="2"/>
  <c r="U9" i="2"/>
  <c r="U10" i="2"/>
  <c r="U11" i="2"/>
  <c r="U7" i="2"/>
  <c r="S12" i="2"/>
  <c r="S8" i="2"/>
  <c r="S9" i="2"/>
  <c r="S10" i="2"/>
  <c r="S11" i="2"/>
  <c r="S7" i="2"/>
  <c r="R12" i="2"/>
  <c r="R8" i="2"/>
  <c r="R9" i="2"/>
  <c r="R10" i="2"/>
  <c r="R11" i="2"/>
  <c r="R7" i="2"/>
  <c r="Q12" i="2"/>
  <c r="Q8" i="2"/>
  <c r="Q9" i="2"/>
  <c r="Q10" i="2"/>
  <c r="Q11" i="2"/>
  <c r="Q7" i="2"/>
  <c r="P12" i="2"/>
  <c r="P8" i="2"/>
  <c r="P9" i="2"/>
  <c r="P10" i="2"/>
  <c r="P11" i="2"/>
  <c r="P7" i="2"/>
  <c r="M12" i="2"/>
  <c r="M8" i="2"/>
  <c r="M9" i="2"/>
  <c r="M10" i="2"/>
  <c r="M11" i="2"/>
  <c r="M7" i="2"/>
  <c r="K8" i="2"/>
  <c r="K9" i="2"/>
  <c r="K10" i="2"/>
  <c r="K11" i="2"/>
  <c r="O12" i="2"/>
  <c r="N12" i="2"/>
  <c r="L12" i="2"/>
  <c r="K12" i="2"/>
  <c r="J12" i="2"/>
  <c r="I12" i="2"/>
  <c r="H12" i="2"/>
  <c r="G12" i="2"/>
  <c r="K19" i="1"/>
  <c r="J19" i="1"/>
  <c r="I19" i="1"/>
  <c r="H19" i="1"/>
  <c r="A8" i="2" l="1"/>
  <c r="A9" i="2"/>
  <c r="A10" i="2"/>
  <c r="A11" i="2"/>
  <c r="A7" i="2"/>
  <c r="B14" i="1"/>
  <c r="B15" i="1"/>
  <c r="B16" i="1"/>
  <c r="B17" i="1"/>
  <c r="B18" i="1"/>
</calcChain>
</file>

<file path=xl/sharedStrings.xml><?xml version="1.0" encoding="utf-8"?>
<sst xmlns="http://schemas.openxmlformats.org/spreadsheetml/2006/main" count="145" uniqueCount="63">
  <si>
    <t>ردیف</t>
  </si>
  <si>
    <t>کد پرسنلی</t>
  </si>
  <si>
    <t xml:space="preserve">نام </t>
  </si>
  <si>
    <t>نام خانوادگی</t>
  </si>
  <si>
    <t>سمت</t>
  </si>
  <si>
    <t>تاهل</t>
  </si>
  <si>
    <t>حقوق پایه</t>
  </si>
  <si>
    <t>روزانه</t>
  </si>
  <si>
    <t>کارکرد</t>
  </si>
  <si>
    <t>روز</t>
  </si>
  <si>
    <t>تعداد</t>
  </si>
  <si>
    <t>فرزند</t>
  </si>
  <si>
    <t>ساعت</t>
  </si>
  <si>
    <t>اضافه کاری</t>
  </si>
  <si>
    <t>محمد</t>
  </si>
  <si>
    <t>نیکا</t>
  </si>
  <si>
    <t>سمیه</t>
  </si>
  <si>
    <t xml:space="preserve">مصطفی </t>
  </si>
  <si>
    <t>ساحل</t>
  </si>
  <si>
    <t>ثامنی</t>
  </si>
  <si>
    <t>فرهاد زارع</t>
  </si>
  <si>
    <t>پیوسته</t>
  </si>
  <si>
    <t>قاصدیان</t>
  </si>
  <si>
    <t>انصاری</t>
  </si>
  <si>
    <t>مهندس نرم افزار</t>
  </si>
  <si>
    <t>مدیر مالی</t>
  </si>
  <si>
    <t>حسابدار</t>
  </si>
  <si>
    <t>مدیرعامل</t>
  </si>
  <si>
    <t>مهندس عمران</t>
  </si>
  <si>
    <t>متاهل</t>
  </si>
  <si>
    <t>مطلقه</t>
  </si>
  <si>
    <t>مجرد</t>
  </si>
  <si>
    <t>حقوق ماهیانه</t>
  </si>
  <si>
    <t>حق مسکن</t>
  </si>
  <si>
    <t>حق بن خواربار</t>
  </si>
  <si>
    <t>حق تاهل</t>
  </si>
  <si>
    <t>حق اولاد</t>
  </si>
  <si>
    <t xml:space="preserve">کل حقوق و مزایا </t>
  </si>
  <si>
    <t>7هفتم حق بیمه</t>
  </si>
  <si>
    <t xml:space="preserve">سایر معافیت ها </t>
  </si>
  <si>
    <t>کل حقوق و مزایای مشمول مالیات</t>
  </si>
  <si>
    <t>حق بیمه</t>
  </si>
  <si>
    <t>مالیات</t>
  </si>
  <si>
    <t>کسور وام و مساعده</t>
  </si>
  <si>
    <t xml:space="preserve">بیمه تکمیلی </t>
  </si>
  <si>
    <t xml:space="preserve">خالص قابل پرداخت </t>
  </si>
  <si>
    <t>جمع حقوق و مزایای مشمول بیمه</t>
  </si>
  <si>
    <t>" لیست حقوق و دستمزد کارکنان شرکت تجارت آرمان – اردیبهشت ماه 1404 "</t>
  </si>
  <si>
    <t>جمع</t>
  </si>
  <si>
    <t>-</t>
  </si>
  <si>
    <t xml:space="preserve">مبلغ حقوق از </t>
  </si>
  <si>
    <t xml:space="preserve">مبلغ حقوق تا </t>
  </si>
  <si>
    <t>نرخ</t>
  </si>
  <si>
    <t>مالیات طبقه</t>
  </si>
  <si>
    <t>مالیات تجمیعی</t>
  </si>
  <si>
    <t>نسبت به مازاد</t>
  </si>
  <si>
    <t>مشخصات فردی</t>
  </si>
  <si>
    <t>درآمد</t>
  </si>
  <si>
    <t>مشمول مالیات</t>
  </si>
  <si>
    <t>کسور</t>
  </si>
  <si>
    <t>محل امضا</t>
  </si>
  <si>
    <t>خالص پرداختنی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</si>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</sst>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B Zar"/>
      <family val="2"/>
    </font>
    <font>
      <b/>
      <sz val="11"/>
      <color theme="3"/>
      <name val="B Zar"/>
      <family val="2"/>
    </font>
    <font>
      <b/>
      <sz val="11"/>
      <color theme="3"/>
      <name val="B Titr"/>
      <charset val="178"/>
    </font>
    <font>
      <sz val="11"/>
      <color theme="1"/>
      <name val="B Yekan"/>
      <charset val="178"/>
    </font>
    <font>
      <sz val="11"/>
      <color theme="1"/>
      <name val="B Nazanin"/>
      <charset val="178"/>
    </font>
    <font>
      <sz val="11"/>
      <color theme="1"/>
      <name val="B Titr"/>
      <charset val="178"/>
    </font>
    <font>
      <b/>
      <sz val="12"/>
      <color theme="1"/>
      <name val="B Titr"/>
      <charset val="178"/>
    </font>
    <font>
      <sz val="16"/>
      <color theme="1"/>
      <name val="B Nazanin"/>
      <charset val="178"/>
    </font>
    <font>
      <sz val="16"/>
      <color theme="1"/>
      <name val="B Yekan"/>
      <charset val="178"/>
    </font>
    <font>
      <sz val="11"/>
      <color theme="3"/>
      <name val="B Titr"/>
      <charset val="178"/>
    </font>
    <font>
      <b/>
      <sz val="11"/>
      <color theme="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0" borderId="0" xfId="1" applyNumberFormat="1" applyFont="1" applyBorder="1" applyAlignment="1">
      <alignment vertical="center"/>
    </xf>
    <xf numFmtId="0" fontId="9" fillId="0" borderId="0" xfId="1" applyFont="1" applyBorder="1" applyAlignment="1">
      <alignment vertical="center"/>
    </xf>
    <xf numFmtId="3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3" fontId="3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3" xfId="0" applyBorder="1"/>
    <xf numFmtId="0" fontId="3" fillId="9" borderId="1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2" fillId="9" borderId="21" xfId="1" applyFont="1" applyFill="1" applyBorder="1"/>
    <xf numFmtId="0" fontId="2" fillId="9" borderId="20" xfId="1" applyFont="1" applyFill="1" applyBorder="1" applyAlignment="1">
      <alignment horizontal="center" vertical="center"/>
    </xf>
    <xf numFmtId="0" fontId="2" fillId="9" borderId="21" xfId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2" fillId="5" borderId="20" xfId="1" applyFont="1" applyFill="1" applyBorder="1" applyAlignment="1">
      <alignment horizontal="center"/>
    </xf>
    <xf numFmtId="0" fontId="2" fillId="5" borderId="31" xfId="1" applyFont="1" applyFill="1" applyBorder="1" applyAlignment="1">
      <alignment horizontal="center" vertical="center"/>
    </xf>
    <xf numFmtId="0" fontId="2" fillId="5" borderId="36" xfId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2" xfId="0" applyBorder="1"/>
    <xf numFmtId="0" fontId="3" fillId="0" borderId="42" xfId="0" applyFont="1" applyBorder="1" applyAlignment="1">
      <alignment horizontal="center" vertical="center"/>
    </xf>
    <xf numFmtId="3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/>
    </xf>
    <xf numFmtId="0" fontId="0" fillId="0" borderId="0" xfId="0" applyBorder="1"/>
    <xf numFmtId="0" fontId="2" fillId="9" borderId="20" xfId="1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43" xfId="0" applyBorder="1"/>
    <xf numFmtId="0" fontId="0" fillId="0" borderId="44" xfId="0" applyBorder="1"/>
    <xf numFmtId="0" fontId="6" fillId="4" borderId="1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9" fontId="8" fillId="4" borderId="3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4" fontId="8" fillId="4" borderId="28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3" fontId="8" fillId="4" borderId="45" xfId="0" applyNumberFormat="1" applyFont="1" applyFill="1" applyBorder="1" applyAlignment="1">
      <alignment horizontal="center" vertical="center"/>
    </xf>
    <xf numFmtId="3" fontId="8" fillId="4" borderId="46" xfId="0" applyNumberFormat="1" applyFont="1" applyFill="1" applyBorder="1" applyAlignment="1">
      <alignment horizontal="center" vertical="center"/>
    </xf>
    <xf numFmtId="3" fontId="8" fillId="4" borderId="28" xfId="0" applyNumberFormat="1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3" fontId="2" fillId="9" borderId="8" xfId="1" applyNumberFormat="1" applyFont="1" applyFill="1" applyBorder="1" applyAlignment="1">
      <alignment horizontal="center" vertical="center" wrapText="1"/>
    </xf>
    <xf numFmtId="0" fontId="2" fillId="9" borderId="11" xfId="1" applyFont="1" applyFill="1" applyBorder="1" applyAlignment="1">
      <alignment horizontal="center" vertical="center" wrapText="1"/>
    </xf>
    <xf numFmtId="0" fontId="2" fillId="9" borderId="8" xfId="1" applyFont="1" applyFill="1" applyBorder="1" applyAlignment="1">
      <alignment horizontal="center" vertical="center" wrapText="1"/>
    </xf>
    <xf numFmtId="0" fontId="2" fillId="9" borderId="9" xfId="1" applyFont="1" applyFill="1" applyBorder="1" applyAlignment="1">
      <alignment horizontal="center" vertical="center" wrapText="1"/>
    </xf>
    <xf numFmtId="0" fontId="2" fillId="9" borderId="12" xfId="1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5" fillId="8" borderId="30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 wrapText="1"/>
    </xf>
    <xf numFmtId="0" fontId="2" fillId="0" borderId="34" xfId="1" applyFont="1" applyFill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12" xfId="1" applyNumberFormat="1" applyFont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11" xfId="1" applyNumberFormat="1" applyFont="1" applyBorder="1" applyAlignment="1">
      <alignment horizontal="center" vertical="center" wrapText="1"/>
    </xf>
    <xf numFmtId="0" fontId="2" fillId="0" borderId="35" xfId="1" applyFont="1" applyFill="1" applyBorder="1" applyAlignment="1">
      <alignment horizontal="center" vertical="center"/>
    </xf>
    <xf numFmtId="0" fontId="2" fillId="0" borderId="36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/>
    </xf>
    <xf numFmtId="0" fontId="2" fillId="0" borderId="37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horizontal="center" vertical="center" wrapText="1"/>
    </xf>
    <xf numFmtId="3" fontId="2" fillId="0" borderId="32" xfId="1" applyNumberFormat="1" applyFont="1" applyBorder="1" applyAlignment="1">
      <alignment horizontal="center" vertical="center" wrapText="1"/>
    </xf>
    <xf numFmtId="3" fontId="2" fillId="0" borderId="18" xfId="1" applyNumberFormat="1" applyFont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3" fontId="2" fillId="5" borderId="8" xfId="1" applyNumberFormat="1" applyFont="1" applyFill="1" applyBorder="1" applyAlignment="1">
      <alignment horizontal="center" vertical="center" wrapText="1"/>
    </xf>
    <xf numFmtId="0" fontId="2" fillId="5" borderId="11" xfId="1" applyFont="1" applyFill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38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center" vertical="center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>
              <a:cs typeface="B Titr" panose="00000700000000000000" pitchFamily="2" charset="-78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840181328569246"/>
          <c:y val="0.25365277763759497"/>
          <c:w val="0.35491185331358205"/>
          <c:h val="0.72810257426042369"/>
        </c:manualLayout>
      </c:layout>
      <c:pieChart>
        <c:varyColors val="1"/>
        <c:ser>
          <c:idx val="0"/>
          <c:order val="0"/>
          <c:tx>
            <c:strRef>
              <c:f>'"لیست حقوق و دستمزد'!$Z$5:$Z$6</c:f>
              <c:strCache>
                <c:ptCount val="1"/>
                <c:pt idx="0">
                  <c:v>خالص قابل پرداخت 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</c:dPt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FFFF00"/>
              </a:solidFill>
            </c:spPr>
          </c:dPt>
          <c:dPt>
            <c:idx val="3"/>
            <c:bubble3D val="0"/>
            <c:spPr>
              <a:solidFill>
                <a:srgbClr val="00B050"/>
              </a:solidFill>
            </c:spPr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multiLvlStrRef>
              <c:f>'"لیست حقوق و دستمزد'!$C$7:$D$11</c:f>
              <c:multiLvlStrCache>
                <c:ptCount val="5"/>
                <c:lvl>
                  <c:pt idx="0">
                    <c:v>ثامنی</c:v>
                  </c:pt>
                  <c:pt idx="1">
                    <c:v>فرهاد زارع</c:v>
                  </c:pt>
                  <c:pt idx="2">
                    <c:v>پیوسته</c:v>
                  </c:pt>
                  <c:pt idx="3">
                    <c:v>قاصدیان</c:v>
                  </c:pt>
                  <c:pt idx="4">
                    <c:v>انصاری</c:v>
                  </c:pt>
                </c:lvl>
                <c:lvl>
                  <c:pt idx="0">
                    <c:v>محمد</c:v>
                  </c:pt>
                  <c:pt idx="1">
                    <c:v>نیکا</c:v>
                  </c:pt>
                  <c:pt idx="2">
                    <c:v>سمیه</c:v>
                  </c:pt>
                  <c:pt idx="3">
                    <c:v>مصطفی </c:v>
                  </c:pt>
                  <c:pt idx="4">
                    <c:v>ساحل</c:v>
                  </c:pt>
                </c:lvl>
              </c:multiLvlStrCache>
            </c:multiLvlStrRef>
          </c:cat>
          <c:val>
            <c:numRef>
              <c:f>'"لیست حقوق و دستمزد'!$Z$7:$Z$11</c:f>
              <c:numCache>
                <c:formatCode>#,##0</c:formatCode>
                <c:ptCount val="5"/>
                <c:pt idx="0">
                  <c:v>88922225.112851292</c:v>
                </c:pt>
                <c:pt idx="1">
                  <c:v>325303528.90200001</c:v>
                </c:pt>
                <c:pt idx="2">
                  <c:v>270310966.5757162</c:v>
                </c:pt>
                <c:pt idx="3">
                  <c:v>838544692.1713506</c:v>
                </c:pt>
                <c:pt idx="4">
                  <c:v>154008000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>
        <c:manualLayout>
          <c:xMode val="edge"/>
          <c:yMode val="edge"/>
          <c:x val="4.804745845578598E-2"/>
          <c:y val="0.16697871352584354"/>
          <c:w val="0.89999992312677246"/>
          <c:h val="9.180706672587987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microsoft.com/office/2007/relationships/hdphoto" Target="../media/hdphoto1.wdp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57149</xdr:rowOff>
    </xdr:from>
    <xdr:to>
      <xdr:col>12</xdr:col>
      <xdr:colOff>9526</xdr:colOff>
      <xdr:row>10</xdr:row>
      <xdr:rowOff>152400</xdr:rowOff>
    </xdr:to>
    <xdr:sp macro="" textlink="">
      <xdr:nvSpPr>
        <xdr:cNvPr id="2" name="TextBox 1"/>
        <xdr:cNvSpPr txBox="1"/>
      </xdr:nvSpPr>
      <xdr:spPr>
        <a:xfrm>
          <a:off x="11228203349" y="57149"/>
          <a:ext cx="6057901" cy="190500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fa-IR" sz="1100" b="1">
              <a:solidFill>
                <a:schemeClr val="tx1"/>
              </a:solidFill>
              <a:cs typeface="B Titr" panose="00000700000000000000" pitchFamily="2" charset="-78"/>
            </a:rPr>
            <a:t>باسمه تعالی</a:t>
          </a:r>
        </a:p>
        <a:p>
          <a:pPr algn="ctr" rtl="1"/>
          <a:r>
            <a:rPr lang="fa-IR" sz="1100" b="1">
              <a:solidFill>
                <a:schemeClr val="tx1"/>
              </a:solidFill>
              <a:cs typeface="B Titr" panose="00000700000000000000" pitchFamily="2" charset="-78"/>
            </a:rPr>
            <a:t> دانشگاه آزاد اسلامی واحد تهران غرب</a:t>
          </a:r>
        </a:p>
        <a:p>
          <a:pPr algn="ctr" rtl="1"/>
          <a:r>
            <a:rPr lang="fa-IR" sz="1100" b="1">
              <a:solidFill>
                <a:schemeClr val="tx1"/>
              </a:solidFill>
              <a:cs typeface="B Titr" panose="00000700000000000000" pitchFamily="2" charset="-78"/>
            </a:rPr>
            <a:t> امتحان عملی نرم افزارهای کاربردی در حسابداری - بخش 1</a:t>
          </a:r>
        </a:p>
        <a:p>
          <a:pPr algn="ctr" rtl="1"/>
          <a:r>
            <a:rPr lang="fa-IR" sz="1100" b="1">
              <a:solidFill>
                <a:schemeClr val="tx1"/>
              </a:solidFill>
              <a:cs typeface="B Titr" panose="00000700000000000000" pitchFamily="2" charset="-78"/>
            </a:rPr>
            <a:t> نیمسال دوم 1403-1404 </a:t>
          </a:r>
        </a:p>
        <a:p>
          <a:pPr algn="r" rtl="1"/>
          <a:r>
            <a:rPr lang="fa-IR" sz="1100" b="1">
              <a:solidFill>
                <a:schemeClr val="tx1"/>
              </a:solidFill>
              <a:cs typeface="B Titr" panose="00000700000000000000" pitchFamily="2" charset="-78"/>
            </a:rPr>
            <a:t>نام و نام خانوادگی:    فاطمه آقامحسنی                                                      </a:t>
          </a:r>
          <a:r>
            <a:rPr lang="en-US" sz="1100" b="1">
              <a:solidFill>
                <a:schemeClr val="tx1"/>
              </a:solidFill>
              <a:cs typeface="B Titr" panose="00000700000000000000" pitchFamily="2" charset="-78"/>
            </a:rPr>
            <a:t>         </a:t>
          </a:r>
          <a:r>
            <a:rPr lang="fa-IR" sz="1100" b="1">
              <a:solidFill>
                <a:schemeClr val="tx1"/>
              </a:solidFill>
              <a:cs typeface="B Titr" panose="00000700000000000000" pitchFamily="2" charset="-78"/>
            </a:rPr>
            <a:t>                 </a:t>
          </a:r>
          <a:r>
            <a:rPr lang="fa-IR" b="1">
              <a:solidFill>
                <a:schemeClr val="tx1"/>
              </a:solidFill>
              <a:cs typeface="B Titr" panose="00000700000000000000" pitchFamily="2" charset="-78"/>
            </a:rPr>
            <a:t>مقطع: کارشناسی</a:t>
          </a:r>
          <a:r>
            <a:rPr lang="en-US" b="1" baseline="0">
              <a:solidFill>
                <a:schemeClr val="tx1"/>
              </a:solidFill>
              <a:cs typeface="B Titr" panose="00000700000000000000" pitchFamily="2" charset="-78"/>
            </a:rPr>
            <a:t> </a:t>
          </a:r>
          <a:r>
            <a:rPr lang="fa-IR" b="1">
              <a:solidFill>
                <a:schemeClr val="tx1"/>
              </a:solidFill>
              <a:cs typeface="B Titr" panose="00000700000000000000" pitchFamily="2" charset="-78"/>
            </a:rPr>
            <a:t>پیوسته حسابداری </a:t>
          </a:r>
          <a:endParaRPr lang="fa-IR" sz="1100" b="1">
            <a:solidFill>
              <a:schemeClr val="tx1"/>
            </a:solidFill>
            <a:cs typeface="B Titr" panose="00000700000000000000" pitchFamily="2" charset="-78"/>
          </a:endParaRPr>
        </a:p>
        <a:p>
          <a:pPr algn="r" rtl="1"/>
          <a:endParaRPr lang="fa-IR" sz="1100" b="1">
            <a:solidFill>
              <a:schemeClr val="tx1"/>
            </a:solidFill>
            <a:cs typeface="B Titr" panose="00000700000000000000" pitchFamily="2" charset="-78"/>
          </a:endParaRPr>
        </a:p>
        <a:p>
          <a:pPr algn="r" rtl="1"/>
          <a:r>
            <a:rPr lang="fa-IR" sz="1100" b="1">
              <a:solidFill>
                <a:schemeClr val="tx1"/>
              </a:solidFill>
              <a:cs typeface="B Titr" panose="00000700000000000000" pitchFamily="2" charset="-78"/>
            </a:rPr>
            <a:t> شماره دانشجویی:     40122821301274                                                                                     استاد: فاطمه محمدزاده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200025</xdr:colOff>
      <xdr:row>6</xdr:row>
      <xdr:rowOff>285752</xdr:rowOff>
    </xdr:from>
    <xdr:to>
      <xdr:col>26</xdr:col>
      <xdr:colOff>847725</xdr:colOff>
      <xdr:row>8</xdr:row>
      <xdr:rowOff>51628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7830625" y="1914527"/>
          <a:ext cx="647700" cy="451676"/>
        </a:xfrm>
        <a:prstGeom prst="rect">
          <a:avLst/>
        </a:prstGeom>
      </xdr:spPr>
    </xdr:pic>
    <xdr:clientData/>
  </xdr:twoCellAnchor>
  <xdr:twoCellAnchor>
    <xdr:from>
      <xdr:col>25</xdr:col>
      <xdr:colOff>1333500</xdr:colOff>
      <xdr:row>7</xdr:row>
      <xdr:rowOff>228600</xdr:rowOff>
    </xdr:from>
    <xdr:to>
      <xdr:col>26</xdr:col>
      <xdr:colOff>923924</xdr:colOff>
      <xdr:row>9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9FDFC"/>
            </a:clrFrom>
            <a:clrTo>
              <a:srgbClr val="F9FDFC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7754426" y="2200275"/>
          <a:ext cx="971549" cy="57150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152402</xdr:colOff>
      <xdr:row>8</xdr:row>
      <xdr:rowOff>266702</xdr:rowOff>
    </xdr:from>
    <xdr:to>
      <xdr:col>26</xdr:col>
      <xdr:colOff>1019174</xdr:colOff>
      <xdr:row>10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7659176" y="2581277"/>
          <a:ext cx="866772" cy="495298"/>
        </a:xfrm>
        <a:prstGeom prst="rect">
          <a:avLst/>
        </a:prstGeom>
      </xdr:spPr>
    </xdr:pic>
    <xdr:clientData/>
  </xdr:twoCellAnchor>
  <xdr:twoCellAnchor>
    <xdr:from>
      <xdr:col>26</xdr:col>
      <xdr:colOff>98678</xdr:colOff>
      <xdr:row>9</xdr:row>
      <xdr:rowOff>285751</xdr:rowOff>
    </xdr:from>
    <xdr:to>
      <xdr:col>27</xdr:col>
      <xdr:colOff>38099</xdr:colOff>
      <xdr:row>11</xdr:row>
      <xdr:rowOff>66675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7592501" y="2943226"/>
          <a:ext cx="987171" cy="466724"/>
        </a:xfrm>
        <a:prstGeom prst="rect">
          <a:avLst/>
        </a:prstGeom>
      </xdr:spPr>
    </xdr:pic>
    <xdr:clientData/>
  </xdr:twoCellAnchor>
  <xdr:twoCellAnchor>
    <xdr:from>
      <xdr:col>26</xdr:col>
      <xdr:colOff>87346</xdr:colOff>
      <xdr:row>5</xdr:row>
      <xdr:rowOff>285403</xdr:rowOff>
    </xdr:from>
    <xdr:to>
      <xdr:col>26</xdr:col>
      <xdr:colOff>979715</xdr:colOff>
      <xdr:row>7</xdr:row>
      <xdr:rowOff>68035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DFFFE"/>
            </a:clrFrom>
            <a:clrTo>
              <a:srgbClr val="FDFF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8669821" y="1564474"/>
          <a:ext cx="892369" cy="462990"/>
        </a:xfrm>
        <a:prstGeom prst="rect">
          <a:avLst/>
        </a:prstGeom>
      </xdr:spPr>
    </xdr:pic>
    <xdr:clientData/>
  </xdr:twoCellAnchor>
  <xdr:twoCellAnchor>
    <xdr:from>
      <xdr:col>15</xdr:col>
      <xdr:colOff>13607</xdr:colOff>
      <xdr:row>15</xdr:row>
      <xdr:rowOff>163287</xdr:rowOff>
    </xdr:from>
    <xdr:to>
      <xdr:col>20</xdr:col>
      <xdr:colOff>653143</xdr:colOff>
      <xdr:row>28</xdr:row>
      <xdr:rowOff>54430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9:V20"/>
  <sheetViews>
    <sheetView rightToLeft="1" workbookViewId="0">
      <selection activeCell="O17" sqref="O17"/>
    </sheetView>
  </sheetViews>
  <sheetFormatPr defaultRowHeight="14.25"/>
  <cols>
    <col min="2" max="2" width="9" customWidth="1"/>
    <col min="5" max="5" width="12.5" customWidth="1"/>
    <col min="6" max="6" width="13.25" customWidth="1"/>
    <col min="8" max="8" width="12.375" customWidth="1"/>
    <col min="22" max="22" width="12.875" customWidth="1"/>
  </cols>
  <sheetData>
    <row r="9" spans="1:22">
      <c r="V9" t="s">
        <v>24</v>
      </c>
    </row>
    <row r="10" spans="1:22">
      <c r="V10" t="s">
        <v>25</v>
      </c>
    </row>
    <row r="11" spans="1:22" ht="15" thickBot="1">
      <c r="V11" t="s">
        <v>26</v>
      </c>
    </row>
    <row r="12" spans="1:22" ht="23.25" thickBot="1">
      <c r="A12" s="15"/>
      <c r="B12" s="68" t="s">
        <v>0</v>
      </c>
      <c r="C12" s="74" t="s">
        <v>1</v>
      </c>
      <c r="D12" s="74" t="s">
        <v>2</v>
      </c>
      <c r="E12" s="74" t="s">
        <v>3</v>
      </c>
      <c r="F12" s="76" t="s">
        <v>4</v>
      </c>
      <c r="G12" s="68" t="s">
        <v>5</v>
      </c>
      <c r="H12" s="19" t="s">
        <v>6</v>
      </c>
      <c r="I12" s="19" t="s">
        <v>8</v>
      </c>
      <c r="J12" s="19" t="s">
        <v>10</v>
      </c>
      <c r="K12" s="39" t="s">
        <v>12</v>
      </c>
      <c r="V12" t="s">
        <v>27</v>
      </c>
    </row>
    <row r="13" spans="1:22" ht="23.25" thickBot="1">
      <c r="A13" s="15"/>
      <c r="B13" s="69"/>
      <c r="C13" s="75"/>
      <c r="D13" s="75"/>
      <c r="E13" s="75"/>
      <c r="F13" s="77"/>
      <c r="G13" s="69"/>
      <c r="H13" s="20" t="s">
        <v>7</v>
      </c>
      <c r="I13" s="20" t="s">
        <v>9</v>
      </c>
      <c r="J13" s="20" t="s">
        <v>11</v>
      </c>
      <c r="K13" s="18" t="s">
        <v>13</v>
      </c>
      <c r="V13" t="s">
        <v>28</v>
      </c>
    </row>
    <row r="14" spans="1:22" ht="18">
      <c r="A14" s="15"/>
      <c r="B14" s="13">
        <f>SUBTOTAL(3,$C$14:C14)</f>
        <v>1</v>
      </c>
      <c r="C14" s="1">
        <v>1001</v>
      </c>
      <c r="D14" s="4" t="s">
        <v>14</v>
      </c>
      <c r="E14" s="4" t="s">
        <v>19</v>
      </c>
      <c r="F14" s="4" t="s">
        <v>24</v>
      </c>
      <c r="G14" s="4" t="s">
        <v>29</v>
      </c>
      <c r="H14" s="11">
        <v>628748</v>
      </c>
      <c r="I14" s="12">
        <v>31</v>
      </c>
      <c r="J14" s="12">
        <v>3</v>
      </c>
      <c r="K14" s="16">
        <v>55</v>
      </c>
    </row>
    <row r="15" spans="1:22" ht="18">
      <c r="A15" s="15"/>
      <c r="B15" s="14">
        <f>SUBTOTAL(3,$C$14:C15)</f>
        <v>2</v>
      </c>
      <c r="C15" s="2">
        <v>1002</v>
      </c>
      <c r="D15" s="5" t="s">
        <v>15</v>
      </c>
      <c r="E15" s="5" t="s">
        <v>20</v>
      </c>
      <c r="F15" s="5" t="s">
        <v>25</v>
      </c>
      <c r="G15" s="5" t="s">
        <v>30</v>
      </c>
      <c r="H15" s="9">
        <v>15008522</v>
      </c>
      <c r="I15" s="10">
        <v>22</v>
      </c>
      <c r="J15" s="10">
        <v>1</v>
      </c>
      <c r="K15" s="17">
        <v>0</v>
      </c>
      <c r="V15" t="s">
        <v>29</v>
      </c>
    </row>
    <row r="16" spans="1:22" ht="18">
      <c r="A16" s="15"/>
      <c r="B16" s="14">
        <f>SUBTOTAL(3,$C$14:C16)</f>
        <v>3</v>
      </c>
      <c r="C16" s="2">
        <v>1003</v>
      </c>
      <c r="D16" s="5" t="s">
        <v>16</v>
      </c>
      <c r="E16" s="5" t="s">
        <v>21</v>
      </c>
      <c r="F16" s="5" t="s">
        <v>26</v>
      </c>
      <c r="G16" s="5" t="s">
        <v>31</v>
      </c>
      <c r="H16" s="9">
        <v>7500000</v>
      </c>
      <c r="I16" s="10">
        <v>31</v>
      </c>
      <c r="J16" s="10">
        <v>0</v>
      </c>
      <c r="K16" s="17">
        <v>23</v>
      </c>
      <c r="V16" t="s">
        <v>30</v>
      </c>
    </row>
    <row r="17" spans="1:22" ht="18">
      <c r="A17" s="15"/>
      <c r="B17" s="14">
        <f>SUBTOTAL(3,$C$14:C17)</f>
        <v>4</v>
      </c>
      <c r="C17" s="2">
        <v>1004</v>
      </c>
      <c r="D17" s="5" t="s">
        <v>17</v>
      </c>
      <c r="E17" s="5" t="s">
        <v>22</v>
      </c>
      <c r="F17" s="5" t="s">
        <v>27</v>
      </c>
      <c r="G17" s="5" t="s">
        <v>29</v>
      </c>
      <c r="H17" s="9">
        <v>20000000</v>
      </c>
      <c r="I17" s="10">
        <v>31</v>
      </c>
      <c r="J17" s="10">
        <v>2</v>
      </c>
      <c r="K17" s="17">
        <v>80</v>
      </c>
      <c r="V17" t="s">
        <v>31</v>
      </c>
    </row>
    <row r="18" spans="1:22" ht="18.75" thickBot="1">
      <c r="A18" s="15"/>
      <c r="B18" s="34">
        <f>SUBTOTAL(3,$C$14:C18)</f>
        <v>5</v>
      </c>
      <c r="C18" s="28">
        <v>1005</v>
      </c>
      <c r="D18" s="29" t="s">
        <v>18</v>
      </c>
      <c r="E18" s="29" t="s">
        <v>23</v>
      </c>
      <c r="F18" s="29" t="s">
        <v>28</v>
      </c>
      <c r="G18" s="29" t="s">
        <v>31</v>
      </c>
      <c r="H18" s="35">
        <v>7200000</v>
      </c>
      <c r="I18" s="36">
        <v>18</v>
      </c>
      <c r="J18" s="36">
        <v>0</v>
      </c>
      <c r="K18" s="37">
        <v>0</v>
      </c>
    </row>
    <row r="19" spans="1:22" ht="14.25" customHeight="1">
      <c r="A19" s="15"/>
      <c r="B19" s="72" t="s">
        <v>48</v>
      </c>
      <c r="C19" s="70" t="s">
        <v>49</v>
      </c>
      <c r="D19" s="70" t="s">
        <v>49</v>
      </c>
      <c r="E19" s="70" t="s">
        <v>49</v>
      </c>
      <c r="F19" s="70" t="s">
        <v>49</v>
      </c>
      <c r="G19" s="70" t="s">
        <v>49</v>
      </c>
      <c r="H19" s="63">
        <f>SUM(H14:H18)</f>
        <v>50337270</v>
      </c>
      <c r="I19" s="65">
        <f>SUM(I14:I18)</f>
        <v>133</v>
      </c>
      <c r="J19" s="65">
        <f>SUM(J14:J18)</f>
        <v>6</v>
      </c>
      <c r="K19" s="66">
        <f>SUM(K14:K18)</f>
        <v>158</v>
      </c>
    </row>
    <row r="20" spans="1:22" ht="14.25" customHeight="1" thickBot="1">
      <c r="A20" s="15"/>
      <c r="B20" s="73"/>
      <c r="C20" s="71"/>
      <c r="D20" s="71"/>
      <c r="E20" s="71"/>
      <c r="F20" s="71"/>
      <c r="G20" s="71"/>
      <c r="H20" s="64"/>
      <c r="I20" s="64"/>
      <c r="J20" s="64"/>
      <c r="K20" s="67"/>
    </row>
  </sheetData>
  <mergeCells count="16">
    <mergeCell ref="B12:B13"/>
    <mergeCell ref="C12:C13"/>
    <mergeCell ref="D12:D13"/>
    <mergeCell ref="E12:E13"/>
    <mergeCell ref="F12:F13"/>
    <mergeCell ref="B19:B20"/>
    <mergeCell ref="C19:C20"/>
    <mergeCell ref="D19:D20"/>
    <mergeCell ref="E19:E20"/>
    <mergeCell ref="F19:F20"/>
    <mergeCell ref="H19:H20"/>
    <mergeCell ref="I19:I20"/>
    <mergeCell ref="J19:J20"/>
    <mergeCell ref="K19:K20"/>
    <mergeCell ref="G12:G13"/>
    <mergeCell ref="G19:G20"/>
  </mergeCells>
  <dataValidations disablePrompts="1" count="2">
    <dataValidation type="list" allowBlank="1" showInputMessage="1" showErrorMessage="1" sqref="F14:F18">
      <formula1>$V$9:$V$13</formula1>
    </dataValidation>
    <dataValidation type="list" allowBlank="1" showInputMessage="1" showErrorMessage="1" sqref="G14:G18">
      <formula1>$V$15:$V$17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AA44"/>
  <sheetViews>
    <sheetView rightToLeft="1" tabSelected="1" topLeftCell="N7" zoomScale="70" zoomScaleNormal="70" workbookViewId="0">
      <selection activeCell="O22" sqref="O22"/>
    </sheetView>
  </sheetViews>
  <sheetFormatPr defaultRowHeight="14.25"/>
  <cols>
    <col min="1" max="1" width="7.5" customWidth="1"/>
    <col min="2" max="2" width="19.125" customWidth="1"/>
    <col min="3" max="3" width="18" customWidth="1"/>
    <col min="4" max="4" width="12.625" customWidth="1"/>
    <col min="5" max="5" width="14.375" customWidth="1"/>
    <col min="6" max="6" width="13.75" customWidth="1"/>
    <col min="7" max="7" width="12.25" customWidth="1"/>
    <col min="8" max="9" width="9.125" bestFit="1" customWidth="1"/>
    <col min="10" max="10" width="15" customWidth="1"/>
    <col min="11" max="11" width="14.875" customWidth="1"/>
    <col min="12" max="13" width="16.125" customWidth="1"/>
    <col min="14" max="14" width="10.75" customWidth="1"/>
    <col min="15" max="15" width="18.875" customWidth="1"/>
    <col min="16" max="16" width="16" customWidth="1"/>
    <col min="17" max="17" width="14" customWidth="1"/>
    <col min="18" max="18" width="14.5" customWidth="1"/>
    <col min="19" max="19" width="12.125" customWidth="1"/>
    <col min="20" max="20" width="20.375" customWidth="1"/>
    <col min="21" max="22" width="18.125" customWidth="1"/>
    <col min="23" max="23" width="19.375" customWidth="1"/>
    <col min="24" max="24" width="14.75" customWidth="1"/>
    <col min="25" max="25" width="17.5" customWidth="1"/>
    <col min="26" max="26" width="18.125" customWidth="1"/>
    <col min="27" max="27" width="13.75" customWidth="1"/>
  </cols>
  <sheetData>
    <row r="2" spans="1:27" ht="18">
      <c r="G2" s="106" t="s">
        <v>47</v>
      </c>
      <c r="H2" s="106"/>
      <c r="I2" s="106"/>
      <c r="J2" s="106"/>
      <c r="K2" s="106"/>
    </row>
    <row r="3" spans="1:27" ht="15" thickBot="1"/>
    <row r="4" spans="1:27" ht="27.6" customHeight="1" thickBot="1">
      <c r="A4" s="97" t="s">
        <v>56</v>
      </c>
      <c r="B4" s="98"/>
      <c r="C4" s="98"/>
      <c r="D4" s="98"/>
      <c r="E4" s="98"/>
      <c r="F4" s="98"/>
      <c r="G4" s="98"/>
      <c r="H4" s="98"/>
      <c r="I4" s="98"/>
      <c r="J4" s="99"/>
      <c r="K4" s="100" t="s">
        <v>57</v>
      </c>
      <c r="L4" s="101"/>
      <c r="M4" s="101"/>
      <c r="N4" s="101"/>
      <c r="O4" s="101"/>
      <c r="P4" s="102"/>
      <c r="Q4" s="103" t="s">
        <v>58</v>
      </c>
      <c r="R4" s="104"/>
      <c r="S4" s="104"/>
      <c r="T4" s="104"/>
      <c r="U4" s="105"/>
      <c r="V4" s="78" t="s">
        <v>59</v>
      </c>
      <c r="W4" s="79"/>
      <c r="X4" s="79"/>
      <c r="Y4" s="80"/>
      <c r="Z4" s="85" t="s">
        <v>61</v>
      </c>
      <c r="AA4" s="86"/>
    </row>
    <row r="5" spans="1:27" ht="27.6" customHeight="1" thickBot="1">
      <c r="A5" s="109" t="s">
        <v>0</v>
      </c>
      <c r="B5" s="68" t="s">
        <v>1</v>
      </c>
      <c r="C5" s="68" t="s">
        <v>2</v>
      </c>
      <c r="D5" s="68" t="s">
        <v>3</v>
      </c>
      <c r="E5" s="68" t="s">
        <v>4</v>
      </c>
      <c r="F5" s="68" t="s">
        <v>5</v>
      </c>
      <c r="G5" s="23" t="s">
        <v>6</v>
      </c>
      <c r="H5" s="23" t="s">
        <v>8</v>
      </c>
      <c r="I5" s="25" t="s">
        <v>10</v>
      </c>
      <c r="J5" s="23" t="s">
        <v>12</v>
      </c>
      <c r="K5" s="91" t="s">
        <v>32</v>
      </c>
      <c r="L5" s="89" t="s">
        <v>33</v>
      </c>
      <c r="M5" s="91" t="s">
        <v>13</v>
      </c>
      <c r="N5" s="111" t="s">
        <v>34</v>
      </c>
      <c r="O5" s="91" t="s">
        <v>35</v>
      </c>
      <c r="P5" s="81" t="s">
        <v>46</v>
      </c>
      <c r="Q5" s="91" t="s">
        <v>36</v>
      </c>
      <c r="R5" s="89" t="s">
        <v>37</v>
      </c>
      <c r="S5" s="91" t="s">
        <v>38</v>
      </c>
      <c r="T5" s="91" t="s">
        <v>39</v>
      </c>
      <c r="U5" s="81" t="s">
        <v>40</v>
      </c>
      <c r="V5" s="111" t="s">
        <v>41</v>
      </c>
      <c r="W5" s="91" t="s">
        <v>42</v>
      </c>
      <c r="X5" s="93" t="s">
        <v>43</v>
      </c>
      <c r="Y5" s="89" t="s">
        <v>44</v>
      </c>
      <c r="Z5" s="81" t="s">
        <v>45</v>
      </c>
      <c r="AA5" s="81" t="s">
        <v>60</v>
      </c>
    </row>
    <row r="6" spans="1:27" ht="27.6" customHeight="1" thickBot="1">
      <c r="A6" s="110"/>
      <c r="B6" s="69"/>
      <c r="C6" s="69"/>
      <c r="D6" s="69"/>
      <c r="E6" s="69"/>
      <c r="F6" s="69"/>
      <c r="G6" s="26" t="s">
        <v>7</v>
      </c>
      <c r="H6" s="23" t="s">
        <v>9</v>
      </c>
      <c r="I6" s="23" t="s">
        <v>11</v>
      </c>
      <c r="J6" s="24" t="s">
        <v>13</v>
      </c>
      <c r="K6" s="92"/>
      <c r="L6" s="90"/>
      <c r="M6" s="92"/>
      <c r="N6" s="112"/>
      <c r="O6" s="92"/>
      <c r="P6" s="82"/>
      <c r="Q6" s="92"/>
      <c r="R6" s="90"/>
      <c r="S6" s="92"/>
      <c r="T6" s="92"/>
      <c r="U6" s="82"/>
      <c r="V6" s="112"/>
      <c r="W6" s="92"/>
      <c r="X6" s="94"/>
      <c r="Y6" s="90"/>
      <c r="Z6" s="82"/>
      <c r="AA6" s="82"/>
    </row>
    <row r="7" spans="1:27" ht="27.6" customHeight="1">
      <c r="A7" s="1">
        <f>SUBTOTAL(3,B7:$B$7)</f>
        <v>1</v>
      </c>
      <c r="B7" s="1">
        <v>1001</v>
      </c>
      <c r="C7" s="4" t="s">
        <v>14</v>
      </c>
      <c r="D7" s="4" t="s">
        <v>19</v>
      </c>
      <c r="E7" s="4" t="s">
        <v>24</v>
      </c>
      <c r="F7" s="4" t="s">
        <v>29</v>
      </c>
      <c r="G7" s="21">
        <v>628748</v>
      </c>
      <c r="H7" s="21">
        <v>31</v>
      </c>
      <c r="I7" s="21">
        <v>3</v>
      </c>
      <c r="J7" s="21">
        <v>55</v>
      </c>
      <c r="K7" s="22">
        <f>G7*H7</f>
        <v>19491188</v>
      </c>
      <c r="L7" s="22">
        <v>9000000</v>
      </c>
      <c r="M7" s="22">
        <f>G7/7.33*140%*J7</f>
        <v>6604856.2073669853</v>
      </c>
      <c r="N7" s="22">
        <v>22000000</v>
      </c>
      <c r="O7" s="22">
        <v>5000000</v>
      </c>
      <c r="P7" s="22">
        <f>K7+L7+M7+N7+O7</f>
        <v>62096044.207366988</v>
      </c>
      <c r="Q7" s="22">
        <f>3*3463656*I7</f>
        <v>31172904</v>
      </c>
      <c r="R7" s="22">
        <f>P7+Q7</f>
        <v>93268948.207366988</v>
      </c>
      <c r="S7" s="22">
        <f>7%*P7</f>
        <v>4346723.0945156896</v>
      </c>
      <c r="T7" s="22" t="s">
        <v>49</v>
      </c>
      <c r="U7" s="22">
        <f>R7-S7</f>
        <v>88922225.112851292</v>
      </c>
      <c r="V7" s="22">
        <f>7%*P7</f>
        <v>4346723.0945156896</v>
      </c>
      <c r="W7" s="22">
        <f>IF($U$7&lt;=$W$18,0,IF($U$7&lt;=$W$19,($U$7-$V$19)*$X$19+$Z$19,IF($U$7&lt;=$W$20,($U$7-$V$20)*$X$20+$Z$20,IF($U$7&lt;=$W$21,($U$7-$V$21)*$X$21+$Z$21,IF($U$7&lt;=$W$22,($U$7-$V$22)*$X$22+$Z$22)))))</f>
        <v>0</v>
      </c>
      <c r="X7" s="22" t="s">
        <v>49</v>
      </c>
      <c r="Y7" s="22" t="s">
        <v>49</v>
      </c>
      <c r="Z7" s="22">
        <f>R7-V7-W7</f>
        <v>88922225.112851292</v>
      </c>
      <c r="AA7" s="40"/>
    </row>
    <row r="8" spans="1:27" ht="27.6" customHeight="1">
      <c r="A8" s="1">
        <f>SUBTOTAL(3,B$7:$B8)</f>
        <v>2</v>
      </c>
      <c r="B8" s="2">
        <v>1002</v>
      </c>
      <c r="C8" s="5" t="s">
        <v>15</v>
      </c>
      <c r="D8" s="5" t="s">
        <v>20</v>
      </c>
      <c r="E8" s="5" t="s">
        <v>25</v>
      </c>
      <c r="F8" s="5" t="s">
        <v>30</v>
      </c>
      <c r="G8" s="6">
        <v>15008522</v>
      </c>
      <c r="H8" s="6">
        <v>22</v>
      </c>
      <c r="I8" s="6">
        <v>1</v>
      </c>
      <c r="J8" s="6">
        <v>0</v>
      </c>
      <c r="K8" s="3">
        <f t="shared" ref="K8:K11" si="0">G8*H8</f>
        <v>330187484</v>
      </c>
      <c r="L8" s="3">
        <v>9000000</v>
      </c>
      <c r="M8" s="3">
        <f t="shared" ref="M8:M11" si="1">G8/7.33*140%*J8</f>
        <v>0</v>
      </c>
      <c r="N8" s="3">
        <v>22000000</v>
      </c>
      <c r="O8" s="3">
        <v>5000000</v>
      </c>
      <c r="P8" s="3">
        <f t="shared" ref="P8:P11" si="2">K8+L8+M8+N8+O8</f>
        <v>366187484</v>
      </c>
      <c r="Q8" s="3">
        <f t="shared" ref="Q8:Q11" si="3">3*3463656*I8</f>
        <v>10390968</v>
      </c>
      <c r="R8" s="3">
        <f t="shared" ref="R8:R11" si="4">P8+Q8</f>
        <v>376578452</v>
      </c>
      <c r="S8" s="3">
        <f t="shared" ref="S8:S11" si="5">7%*P8</f>
        <v>25633123.880000003</v>
      </c>
      <c r="T8" s="3" t="s">
        <v>49</v>
      </c>
      <c r="U8" s="3">
        <f t="shared" ref="U8:U11" si="6">R8-S8</f>
        <v>350945328.12</v>
      </c>
      <c r="V8" s="3">
        <f t="shared" ref="V8:V11" si="7">7%*P8</f>
        <v>25633123.880000003</v>
      </c>
      <c r="W8" s="22">
        <f>IF($U$8&lt;=$W$18,0,IF($U$8&lt;=$W$19,($U$8-$V$19)*$X$19+$Z$19,IF($U$8&lt;=$W$20,($U$8-$V$20)*$X$20+$Z$20,IF($U$8&lt;=$W$21,($U$8-$V$21)*$X$21+$Z$21,IF($U$8&lt;=$W$22,($U$8-$V$22)*$X$22+$Z$22)))))</f>
        <v>25641799.218000002</v>
      </c>
      <c r="X8" s="3" t="s">
        <v>49</v>
      </c>
      <c r="Y8" s="3" t="s">
        <v>49</v>
      </c>
      <c r="Z8" s="3">
        <f t="shared" ref="Z8:Z11" si="8">R8-V8-W8</f>
        <v>325303528.90200001</v>
      </c>
      <c r="AA8" s="32"/>
    </row>
    <row r="9" spans="1:27" ht="27.6" customHeight="1">
      <c r="A9" s="1">
        <f>SUBTOTAL(3,B$7:$B9)</f>
        <v>3</v>
      </c>
      <c r="B9" s="2">
        <v>1003</v>
      </c>
      <c r="C9" s="5" t="s">
        <v>16</v>
      </c>
      <c r="D9" s="5" t="s">
        <v>21</v>
      </c>
      <c r="E9" s="5" t="s">
        <v>26</v>
      </c>
      <c r="F9" s="5" t="s">
        <v>31</v>
      </c>
      <c r="G9" s="6">
        <v>7500000</v>
      </c>
      <c r="H9" s="6">
        <v>31</v>
      </c>
      <c r="I9" s="6">
        <v>0</v>
      </c>
      <c r="J9" s="6">
        <v>23</v>
      </c>
      <c r="K9" s="3">
        <f t="shared" si="0"/>
        <v>232500000</v>
      </c>
      <c r="L9" s="3">
        <v>9000000</v>
      </c>
      <c r="M9" s="3">
        <f t="shared" si="1"/>
        <v>32946793.997271486</v>
      </c>
      <c r="N9" s="3">
        <v>22000000</v>
      </c>
      <c r="O9" s="3">
        <v>5000000</v>
      </c>
      <c r="P9" s="3">
        <f t="shared" si="2"/>
        <v>301446793.99727148</v>
      </c>
      <c r="Q9" s="3">
        <f t="shared" si="3"/>
        <v>0</v>
      </c>
      <c r="R9" s="3">
        <f t="shared" si="4"/>
        <v>301446793.99727148</v>
      </c>
      <c r="S9" s="3">
        <f t="shared" si="5"/>
        <v>21101275.579809006</v>
      </c>
      <c r="T9" s="3" t="s">
        <v>49</v>
      </c>
      <c r="U9" s="3">
        <f t="shared" si="6"/>
        <v>280345518.41746247</v>
      </c>
      <c r="V9" s="3">
        <f t="shared" si="7"/>
        <v>21101275.579809006</v>
      </c>
      <c r="W9" s="22">
        <f>IF($U$9&lt;=$W$18,0,IF($U$9&lt;=$W$19,($U$9-$V$19)*$X$19+$Z$19,IF($U$9&lt;=$W$20,($U$9-$V$20)*$X$20+$Z$20,IF($U$9&lt;=$W$21,($U$9-$V$21)*$X$21+$Z$21,IF($U$9&lt;=$W$22,($U$9-$V$22)*$X$22+$Z$22)))))</f>
        <v>10034551.841746246</v>
      </c>
      <c r="X9" s="3" t="s">
        <v>49</v>
      </c>
      <c r="Y9" s="3" t="s">
        <v>49</v>
      </c>
      <c r="Z9" s="3">
        <f t="shared" si="8"/>
        <v>270310966.5757162</v>
      </c>
      <c r="AA9" s="32"/>
    </row>
    <row r="10" spans="1:27" ht="27.6" customHeight="1">
      <c r="A10" s="1">
        <f>SUBTOTAL(3,B$7:$B10)</f>
        <v>4</v>
      </c>
      <c r="B10" s="2">
        <v>1004</v>
      </c>
      <c r="C10" s="5" t="s">
        <v>17</v>
      </c>
      <c r="D10" s="5" t="s">
        <v>22</v>
      </c>
      <c r="E10" s="5" t="s">
        <v>27</v>
      </c>
      <c r="F10" s="5" t="s">
        <v>29</v>
      </c>
      <c r="G10" s="6">
        <v>20000000</v>
      </c>
      <c r="H10" s="6">
        <v>31</v>
      </c>
      <c r="I10" s="6">
        <v>2</v>
      </c>
      <c r="J10" s="6">
        <v>80</v>
      </c>
      <c r="K10" s="3">
        <f t="shared" si="0"/>
        <v>620000000</v>
      </c>
      <c r="L10" s="3">
        <v>9000000</v>
      </c>
      <c r="M10" s="3">
        <f t="shared" si="1"/>
        <v>305593451.56889492</v>
      </c>
      <c r="N10" s="3">
        <v>22000000</v>
      </c>
      <c r="O10" s="3">
        <v>5000000</v>
      </c>
      <c r="P10" s="3">
        <f t="shared" si="2"/>
        <v>961593451.56889486</v>
      </c>
      <c r="Q10" s="3">
        <f t="shared" si="3"/>
        <v>20781936</v>
      </c>
      <c r="R10" s="3">
        <f t="shared" si="4"/>
        <v>982375387.56889486</v>
      </c>
      <c r="S10" s="3">
        <f t="shared" si="5"/>
        <v>67311541.609822646</v>
      </c>
      <c r="T10" s="3" t="s">
        <v>49</v>
      </c>
      <c r="U10" s="3">
        <f t="shared" si="6"/>
        <v>915063845.95907223</v>
      </c>
      <c r="V10" s="3">
        <f t="shared" si="7"/>
        <v>67311541.609822646</v>
      </c>
      <c r="W10" s="22">
        <f>IF(U10&lt;=W18,0,IF(U10&lt;=W19,(U10-V19)*X19+Z19,IF(U10&lt;=W20,(U10-V20)*X20+Z20,IF(U10&lt;=W21,(U10-V21)*X21+Z21,IF(U10&lt;=W22,(U10-V22)*X22+Z22,IF(U10&lt;=W23,(U10-V23)*X23))))))</f>
        <v>76519153.787721664</v>
      </c>
      <c r="X10" s="3" t="s">
        <v>49</v>
      </c>
      <c r="Y10" s="3" t="s">
        <v>49</v>
      </c>
      <c r="Z10" s="3">
        <f t="shared" si="8"/>
        <v>838544692.1713506</v>
      </c>
      <c r="AA10" s="32"/>
    </row>
    <row r="11" spans="1:27" ht="27.6" customHeight="1" thickBot="1">
      <c r="A11" s="27">
        <f>SUBTOTAL(3,B$7:$B11)</f>
        <v>5</v>
      </c>
      <c r="B11" s="28">
        <v>1005</v>
      </c>
      <c r="C11" s="29" t="s">
        <v>18</v>
      </c>
      <c r="D11" s="29" t="s">
        <v>23</v>
      </c>
      <c r="E11" s="29" t="s">
        <v>28</v>
      </c>
      <c r="F11" s="29" t="s">
        <v>31</v>
      </c>
      <c r="G11" s="30">
        <v>7200000</v>
      </c>
      <c r="H11" s="30">
        <v>18</v>
      </c>
      <c r="I11" s="30">
        <v>0</v>
      </c>
      <c r="J11" s="30">
        <v>0</v>
      </c>
      <c r="K11" s="31">
        <f t="shared" si="0"/>
        <v>129600000</v>
      </c>
      <c r="L11" s="31">
        <v>9000000</v>
      </c>
      <c r="M11" s="31">
        <f t="shared" si="1"/>
        <v>0</v>
      </c>
      <c r="N11" s="31">
        <v>22000000</v>
      </c>
      <c r="O11" s="31">
        <v>5000000</v>
      </c>
      <c r="P11" s="31">
        <f t="shared" si="2"/>
        <v>165600000</v>
      </c>
      <c r="Q11" s="31">
        <f t="shared" si="3"/>
        <v>0</v>
      </c>
      <c r="R11" s="31">
        <f t="shared" si="4"/>
        <v>165600000</v>
      </c>
      <c r="S11" s="31">
        <f t="shared" si="5"/>
        <v>11592000.000000002</v>
      </c>
      <c r="T11" s="31" t="s">
        <v>49</v>
      </c>
      <c r="U11" s="31">
        <f t="shared" si="6"/>
        <v>154008000</v>
      </c>
      <c r="V11" s="31">
        <f t="shared" si="7"/>
        <v>11592000.000000002</v>
      </c>
      <c r="W11" s="22">
        <f>IF($U$11&lt;=$W$18,0,IF($U$11&lt;=$W$19,($U$11-$V$19)*$X$19+$Z$19,IF($U$11&lt;=$W$20,($U$11-$V$20)*$X$20+$Z$20,IF($U$11&lt;=$W$21,($U$11-$V$21)*$X$21+$Z$21,IF($U$11&lt;=$W$22,($U$11-$V$22)*$X$22+$Z$22)))))</f>
        <v>0</v>
      </c>
      <c r="X11" s="31" t="s">
        <v>49</v>
      </c>
      <c r="Y11" s="31" t="s">
        <v>49</v>
      </c>
      <c r="Z11" s="31">
        <f t="shared" si="8"/>
        <v>154008000</v>
      </c>
      <c r="AA11" s="33"/>
    </row>
    <row r="12" spans="1:27" ht="24" customHeight="1">
      <c r="A12" s="72" t="s">
        <v>48</v>
      </c>
      <c r="B12" s="70" t="s">
        <v>49</v>
      </c>
      <c r="C12" s="70" t="s">
        <v>49</v>
      </c>
      <c r="D12" s="70" t="s">
        <v>49</v>
      </c>
      <c r="E12" s="70" t="s">
        <v>49</v>
      </c>
      <c r="F12" s="70" t="s">
        <v>49</v>
      </c>
      <c r="G12" s="107">
        <f t="shared" ref="G12:S12" si="9">SUM(G7:G11)</f>
        <v>50337270</v>
      </c>
      <c r="H12" s="107">
        <f t="shared" si="9"/>
        <v>133</v>
      </c>
      <c r="I12" s="107">
        <f t="shared" si="9"/>
        <v>6</v>
      </c>
      <c r="J12" s="107">
        <f t="shared" si="9"/>
        <v>158</v>
      </c>
      <c r="K12" s="87">
        <f t="shared" si="9"/>
        <v>1331778672</v>
      </c>
      <c r="L12" s="87">
        <f t="shared" si="9"/>
        <v>45000000</v>
      </c>
      <c r="M12" s="95">
        <f t="shared" si="9"/>
        <v>345145101.7735334</v>
      </c>
      <c r="N12" s="87">
        <f t="shared" si="9"/>
        <v>110000000</v>
      </c>
      <c r="O12" s="87">
        <f t="shared" si="9"/>
        <v>25000000</v>
      </c>
      <c r="P12" s="87">
        <f t="shared" si="9"/>
        <v>1856923773.7735333</v>
      </c>
      <c r="Q12" s="87">
        <f t="shared" si="9"/>
        <v>62345808</v>
      </c>
      <c r="R12" s="87">
        <f t="shared" si="9"/>
        <v>1919269581.7735333</v>
      </c>
      <c r="S12" s="87">
        <f t="shared" si="9"/>
        <v>129984664.16414735</v>
      </c>
      <c r="T12" s="87" t="s">
        <v>49</v>
      </c>
      <c r="U12" s="87">
        <f>SUM(U7:U11)</f>
        <v>1789284917.609386</v>
      </c>
      <c r="V12" s="87">
        <f>SUM(V7:V11)</f>
        <v>129984664.16414735</v>
      </c>
      <c r="W12" s="87">
        <f>SUM(W7:W11)</f>
        <v>112195504.84746791</v>
      </c>
      <c r="X12" s="87" t="s">
        <v>49</v>
      </c>
      <c r="Y12" s="87" t="s">
        <v>49</v>
      </c>
      <c r="Z12" s="87">
        <f>SUM(Z11)</f>
        <v>154008000</v>
      </c>
      <c r="AA12" s="83" t="s">
        <v>49</v>
      </c>
    </row>
    <row r="13" spans="1:27" ht="24" customHeight="1" thickBot="1">
      <c r="A13" s="73"/>
      <c r="B13" s="71"/>
      <c r="C13" s="71"/>
      <c r="D13" s="71"/>
      <c r="E13" s="71"/>
      <c r="F13" s="71"/>
      <c r="G13" s="108"/>
      <c r="H13" s="108"/>
      <c r="I13" s="108"/>
      <c r="J13" s="108"/>
      <c r="K13" s="88"/>
      <c r="L13" s="88"/>
      <c r="M13" s="96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4"/>
    </row>
    <row r="16" spans="1:27" ht="15" customHeight="1">
      <c r="I16" s="7"/>
      <c r="V16" s="41"/>
      <c r="W16" s="41"/>
      <c r="X16" s="41"/>
      <c r="Y16" s="41"/>
      <c r="Z16" s="41"/>
    </row>
    <row r="17" spans="1:27" ht="25.5">
      <c r="I17" s="8"/>
      <c r="U17" s="42"/>
      <c r="V17" s="55" t="s">
        <v>50</v>
      </c>
      <c r="W17" s="43" t="s">
        <v>51</v>
      </c>
      <c r="X17" s="43" t="s">
        <v>52</v>
      </c>
      <c r="Y17" s="50" t="s">
        <v>53</v>
      </c>
      <c r="Z17" s="47" t="s">
        <v>54</v>
      </c>
    </row>
    <row r="18" spans="1:27" ht="24.75">
      <c r="A18" s="38"/>
      <c r="B18" s="38"/>
      <c r="U18" s="42"/>
      <c r="V18" s="56">
        <v>0</v>
      </c>
      <c r="W18" s="59">
        <v>240000000</v>
      </c>
      <c r="X18" s="44" t="s">
        <v>49</v>
      </c>
      <c r="Y18" s="51" t="s">
        <v>49</v>
      </c>
      <c r="Z18" s="48" t="s">
        <v>49</v>
      </c>
    </row>
    <row r="19" spans="1:27" ht="24.75">
      <c r="U19" s="42"/>
      <c r="V19" s="57">
        <v>240000000</v>
      </c>
      <c r="W19" s="52">
        <v>300000000</v>
      </c>
      <c r="X19" s="45">
        <v>0.1</v>
      </c>
      <c r="Y19" s="52">
        <f>(W19-V19)*X19</f>
        <v>6000000</v>
      </c>
      <c r="Z19" s="49">
        <v>6000000</v>
      </c>
    </row>
    <row r="20" spans="1:27" ht="24.75">
      <c r="J20" t="s">
        <v>62</v>
      </c>
      <c r="U20" s="42"/>
      <c r="V20" s="57">
        <v>300000000</v>
      </c>
      <c r="W20" s="52">
        <v>380000000</v>
      </c>
      <c r="X20" s="45">
        <v>0.15</v>
      </c>
      <c r="Y20" s="52">
        <f>(W20-V20)*X20</f>
        <v>12000000</v>
      </c>
      <c r="Z20" s="49">
        <f>Z19+Y20</f>
        <v>18000000</v>
      </c>
    </row>
    <row r="21" spans="1:27" ht="24.75">
      <c r="U21" s="42"/>
      <c r="V21" s="57">
        <v>380000000</v>
      </c>
      <c r="W21" s="52">
        <v>500000000</v>
      </c>
      <c r="X21" s="45">
        <v>0.2</v>
      </c>
      <c r="Y21" s="52">
        <f>(W21-V21)*X21</f>
        <v>24000000</v>
      </c>
      <c r="Z21" s="61">
        <f>Z20+Y21</f>
        <v>42000000</v>
      </c>
      <c r="AA21" s="38"/>
    </row>
    <row r="22" spans="1:27" ht="24.75">
      <c r="U22" s="42"/>
      <c r="V22" s="58">
        <v>500000000</v>
      </c>
      <c r="W22" s="53">
        <v>660000000</v>
      </c>
      <c r="X22" s="46">
        <v>0.25</v>
      </c>
      <c r="Y22" s="53">
        <f>(W22-V22)*X22</f>
        <v>40000000</v>
      </c>
      <c r="Z22" s="52">
        <f t="shared" ref="Z22" si="10">Z21+Y22</f>
        <v>82000000</v>
      </c>
      <c r="AA22" s="38"/>
    </row>
    <row r="23" spans="1:27" ht="24.75">
      <c r="U23" s="42"/>
      <c r="V23" s="57">
        <v>660000000</v>
      </c>
      <c r="W23" s="60" t="s">
        <v>55</v>
      </c>
      <c r="X23" s="45">
        <v>0.3</v>
      </c>
      <c r="Y23" s="54" t="s">
        <v>49</v>
      </c>
      <c r="Z23" s="62" t="s">
        <v>49</v>
      </c>
      <c r="AA23" s="38"/>
    </row>
    <row r="24" spans="1:27">
      <c r="W24" s="38"/>
      <c r="X24" s="38"/>
    </row>
    <row r="42" spans="15:15">
      <c r="O42" t="s">
        <v>29</v>
      </c>
    </row>
    <row r="43" spans="15:15">
      <c r="O43" t="s">
        <v>30</v>
      </c>
    </row>
    <row r="44" spans="15:15">
      <c r="O44" t="s">
        <v>31</v>
      </c>
    </row>
  </sheetData>
  <dataConsolidate/>
  <mergeCells count="56">
    <mergeCell ref="A5:A6"/>
    <mergeCell ref="S5:S6"/>
    <mergeCell ref="T5:T6"/>
    <mergeCell ref="U5:U6"/>
    <mergeCell ref="V5:V6"/>
    <mergeCell ref="L5:L6"/>
    <mergeCell ref="N5:N6"/>
    <mergeCell ref="O5:O6"/>
    <mergeCell ref="P5:P6"/>
    <mergeCell ref="Q5:Q6"/>
    <mergeCell ref="R5:R6"/>
    <mergeCell ref="B5:B6"/>
    <mergeCell ref="M5:M6"/>
    <mergeCell ref="G2:K2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C5:C6"/>
    <mergeCell ref="D5:D6"/>
    <mergeCell ref="E5:E6"/>
    <mergeCell ref="F5:F6"/>
    <mergeCell ref="M12:M13"/>
    <mergeCell ref="A4:J4"/>
    <mergeCell ref="K4:P4"/>
    <mergeCell ref="W12:W13"/>
    <mergeCell ref="R12:R13"/>
    <mergeCell ref="S12:S13"/>
    <mergeCell ref="T12:T13"/>
    <mergeCell ref="U12:U13"/>
    <mergeCell ref="V12:V13"/>
    <mergeCell ref="L12:L13"/>
    <mergeCell ref="N12:N13"/>
    <mergeCell ref="O12:O13"/>
    <mergeCell ref="P12:P13"/>
    <mergeCell ref="Q12:Q13"/>
    <mergeCell ref="K5:K6"/>
    <mergeCell ref="Q4:U4"/>
    <mergeCell ref="V4:Y4"/>
    <mergeCell ref="AA5:AA6"/>
    <mergeCell ref="AA12:AA13"/>
    <mergeCell ref="Z4:AA4"/>
    <mergeCell ref="X12:X13"/>
    <mergeCell ref="Y12:Y13"/>
    <mergeCell ref="Z12:Z13"/>
    <mergeCell ref="Y5:Y6"/>
    <mergeCell ref="Z5:Z6"/>
    <mergeCell ref="W5:W6"/>
    <mergeCell ref="X5:X6"/>
  </mergeCells>
  <dataValidations disablePrompts="1" count="1">
    <dataValidation type="list" allowBlank="1" showInputMessage="1" showErrorMessage="1" sqref="F7:F11">
      <formula1>$O$42:$O$44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'"حکم پرسنلی"'!$V$9:$V$13</xm:f>
          </x14:formula1>
          <xm:sqref>E7:E11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"حکم پرسنلی"</vt:lpstr>
      <vt:lpstr>"لیست حقوق و دستمزد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2025-05-12T12:43:23Z</dcterms:created>
  <dcterms:modified xsi:type="dcterms:W3CDTF">2025-05-16T17:34:30Z</dcterms:modified>
</cp:coreProperties>
</file>